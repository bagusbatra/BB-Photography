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BAGUS BATRA\BB-Photography\Documentation Planning\"/>
    </mc:Choice>
  </mc:AlternateContent>
  <xr:revisionPtr revIDLastSave="0" documentId="13_ncr:1_{8BCAA5CF-2EB8-415C-8F2D-972FD141243C}" xr6:coauthVersionLast="47" xr6:coauthVersionMax="47" xr10:uidLastSave="{00000000-0000-0000-0000-000000000000}"/>
  <bookViews>
    <workbookView xWindow="-120" yWindow="-120" windowWidth="29040" windowHeight="16440" activeTab="10" xr2:uid="{00000000-000D-0000-FFFF-FFFF00000000}"/>
  </bookViews>
  <sheets>
    <sheet name="MENU" sheetId="1" r:id="rId1"/>
    <sheet name="GRADUATION" sheetId="2" r:id="rId2"/>
    <sheet name="COUPLE" sheetId="3" r:id="rId3"/>
    <sheet name="PERSONAL" sheetId="4" r:id="rId4"/>
    <sheet name="BEAUTY" sheetId="5" r:id="rId5"/>
    <sheet name="PREWEDDING" sheetId="6" r:id="rId6"/>
    <sheet name="WEDDING" sheetId="7" r:id="rId7"/>
    <sheet name="ENGAGEMENT" sheetId="8" r:id="rId8"/>
    <sheet name="EVENT" sheetId="9" r:id="rId9"/>
    <sheet name="TRAVEL" sheetId="10" r:id="rId10"/>
    <sheet name="SIMULATION" sheetId="11" r:id="rId11"/>
  </sheets>
  <calcPr calcId="191029"/>
  <pivotCaches>
    <pivotCache cacheId="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1" l="1"/>
  <c r="C6" i="11"/>
  <c r="E6" i="11" s="1"/>
  <c r="C7" i="11"/>
  <c r="G7" i="11" s="1"/>
  <c r="C8" i="11"/>
  <c r="G8" i="11" s="1"/>
  <c r="C9" i="11"/>
  <c r="C10" i="11"/>
  <c r="G10" i="11" s="1"/>
  <c r="C11" i="11"/>
  <c r="G11" i="11" s="1"/>
  <c r="C4" i="11"/>
  <c r="F4" i="11" s="1"/>
  <c r="G9" i="11"/>
  <c r="F9" i="11"/>
  <c r="E9" i="11"/>
  <c r="D9" i="11"/>
  <c r="D6" i="11"/>
  <c r="F5" i="11"/>
  <c r="E5" i="11"/>
  <c r="D5" i="11"/>
  <c r="G3" i="11"/>
  <c r="F3" i="11"/>
  <c r="D3" i="11"/>
  <c r="E3" i="11"/>
  <c r="G20" i="10"/>
  <c r="G19" i="10"/>
  <c r="G18" i="10"/>
  <c r="G19" i="9"/>
  <c r="G18" i="9"/>
  <c r="G19" i="8"/>
  <c r="G18" i="8"/>
  <c r="G19" i="7"/>
  <c r="G18" i="7"/>
  <c r="G19" i="6"/>
  <c r="G18" i="6"/>
  <c r="G18" i="5"/>
  <c r="G17" i="5"/>
  <c r="G18" i="4"/>
  <c r="G17" i="4"/>
  <c r="G18" i="3"/>
  <c r="G17" i="3"/>
  <c r="G18" i="2"/>
  <c r="G17" i="2"/>
  <c r="D7" i="11" l="1"/>
  <c r="E7" i="11"/>
  <c r="E10" i="11"/>
  <c r="D11" i="11"/>
  <c r="F10" i="11"/>
  <c r="D8" i="11"/>
  <c r="D4" i="11"/>
  <c r="D10" i="11"/>
  <c r="E11" i="11"/>
  <c r="E8" i="11"/>
  <c r="F7" i="11"/>
  <c r="F8" i="11"/>
  <c r="F11" i="11"/>
  <c r="E4" i="11"/>
</calcChain>
</file>

<file path=xl/sharedStrings.xml><?xml version="1.0" encoding="utf-8"?>
<sst xmlns="http://schemas.openxmlformats.org/spreadsheetml/2006/main" count="360" uniqueCount="118">
  <si>
    <t>Graduation Mini</t>
  </si>
  <si>
    <t>1 Orang</t>
  </si>
  <si>
    <t>45-60 Menit</t>
  </si>
  <si>
    <t>5 Foto Edit</t>
  </si>
  <si>
    <t>All File via Gdrive</t>
  </si>
  <si>
    <t>Graduation Standart</t>
  </si>
  <si>
    <t>1 Orang + (Orang Tua)</t>
  </si>
  <si>
    <t>Free Extend 15 Menit</t>
  </si>
  <si>
    <t>Graduation Pro</t>
  </si>
  <si>
    <t>60-90 Menit</t>
  </si>
  <si>
    <t>1-3 Orang</t>
  </si>
  <si>
    <t>15 Foto Edit</t>
  </si>
  <si>
    <t>Free 1 Mini Album</t>
  </si>
  <si>
    <t>6-10 Orang</t>
  </si>
  <si>
    <t>60-120 Menit</t>
  </si>
  <si>
    <t>Graduation Group</t>
  </si>
  <si>
    <t>ADD ON</t>
  </si>
  <si>
    <t>30 Menit</t>
  </si>
  <si>
    <t>Mini Album</t>
  </si>
  <si>
    <t>Foto 8R + Frame</t>
  </si>
  <si>
    <t>Repeat Order</t>
  </si>
  <si>
    <t>Referal Discount</t>
  </si>
  <si>
    <t>8x Order</t>
  </si>
  <si>
    <t>2 Orang</t>
  </si>
  <si>
    <r>
      <t xml:space="preserve">DISCOUNT
</t>
    </r>
    <r>
      <rPr>
        <sz val="9"/>
        <color theme="1"/>
        <rFont val="Calibri"/>
        <family val="2"/>
        <scheme val="minor"/>
      </rPr>
      <t>Kecuali Add On</t>
    </r>
  </si>
  <si>
    <t>Couple Mini</t>
  </si>
  <si>
    <t>Couple Standart</t>
  </si>
  <si>
    <t>Double Date</t>
  </si>
  <si>
    <t>2-4 Orang</t>
  </si>
  <si>
    <t>Branding Standard</t>
  </si>
  <si>
    <t>30-60s Video</t>
  </si>
  <si>
    <t>Branding Pro</t>
  </si>
  <si>
    <t>Branding Team</t>
  </si>
  <si>
    <t>Free 1 Mini Album Branding</t>
  </si>
  <si>
    <t>60-120s Video</t>
  </si>
  <si>
    <t>3-6 Orang</t>
  </si>
  <si>
    <t>Beauty Standard</t>
  </si>
  <si>
    <t>Beauty Pro</t>
  </si>
  <si>
    <t>1-2 Look</t>
  </si>
  <si>
    <t>Prewedding Mini</t>
  </si>
  <si>
    <t>1 Pasangan</t>
  </si>
  <si>
    <t>1 Lokasi &amp; 1 Look</t>
  </si>
  <si>
    <t>2 Lokasi Berdekatan</t>
  </si>
  <si>
    <t>Prewedding Standard</t>
  </si>
  <si>
    <t>Prewedding Pro</t>
  </si>
  <si>
    <t>60-180 Menit</t>
  </si>
  <si>
    <t>2 Lokasi Bebas</t>
  </si>
  <si>
    <t>50 Foto Edit</t>
  </si>
  <si>
    <t>1 Mini Album</t>
  </si>
  <si>
    <t>60s Cinematic Video</t>
  </si>
  <si>
    <t>60-180 Menit/Hari</t>
  </si>
  <si>
    <t>1-3 Hari</t>
  </si>
  <si>
    <t>Bebas Jumlah Look</t>
  </si>
  <si>
    <t xml:space="preserve">Bebas Jumlah Lokasi </t>
  </si>
  <si>
    <t>All File via Flashdisk</t>
  </si>
  <si>
    <t>Prewedding Ultimate</t>
  </si>
  <si>
    <t>All File Backup Gdrive</t>
  </si>
  <si>
    <t>1 Large Album</t>
  </si>
  <si>
    <t>100pcs 4R</t>
  </si>
  <si>
    <t>Voucher 20% For Next Order</t>
  </si>
  <si>
    <t>Voucher 100rb For Next Order</t>
  </si>
  <si>
    <t>Large Album</t>
  </si>
  <si>
    <t>Wedding Standard</t>
  </si>
  <si>
    <t>09.00-20.00</t>
  </si>
  <si>
    <t>Unlimited Shoot</t>
  </si>
  <si>
    <t>1 Fotografer</t>
  </si>
  <si>
    <t>2 Fotografer</t>
  </si>
  <si>
    <t>1 Jam</t>
  </si>
  <si>
    <t>50pcs 4R</t>
  </si>
  <si>
    <t>Album Magnetic</t>
  </si>
  <si>
    <t>Full Day</t>
  </si>
  <si>
    <t>Wedding Pro</t>
  </si>
  <si>
    <t>Wedding Ultimate</t>
  </si>
  <si>
    <t>1 Ultimate Album Special</t>
  </si>
  <si>
    <t>All File in Flashdisk</t>
  </si>
  <si>
    <t>Include Engagement Documentation</t>
  </si>
  <si>
    <t>24R Foto + Frame</t>
  </si>
  <si>
    <t>Engagement Standard</t>
  </si>
  <si>
    <t>Engagement Pro</t>
  </si>
  <si>
    <t>Engagement Ultimate</t>
  </si>
  <si>
    <t>3 Jam</t>
  </si>
  <si>
    <t>5 Jam</t>
  </si>
  <si>
    <t>8 Jam</t>
  </si>
  <si>
    <t>Include Wedding Standard Package</t>
  </si>
  <si>
    <t>Engagement Mini</t>
  </si>
  <si>
    <t>Event Standard</t>
  </si>
  <si>
    <t>Event Pro</t>
  </si>
  <si>
    <t>Event Corporate</t>
  </si>
  <si>
    <t>12-15 Jam</t>
  </si>
  <si>
    <t>2D1N</t>
  </si>
  <si>
    <t>3D2N</t>
  </si>
  <si>
    <t>Travel Standard</t>
  </si>
  <si>
    <t>Travel Pro</t>
  </si>
  <si>
    <t>Travel Complete</t>
  </si>
  <si>
    <t>4D3N</t>
  </si>
  <si>
    <t>School Discount</t>
  </si>
  <si>
    <t>PACKAGE</t>
  </si>
  <si>
    <t>Graduation</t>
  </si>
  <si>
    <t>Stage 1</t>
  </si>
  <si>
    <t>Stage 2</t>
  </si>
  <si>
    <t>Stage 3</t>
  </si>
  <si>
    <t>Stage 4</t>
  </si>
  <si>
    <t>Client</t>
  </si>
  <si>
    <t>Couple</t>
  </si>
  <si>
    <t>Personal</t>
  </si>
  <si>
    <t>Beauty</t>
  </si>
  <si>
    <t>Prewedding</t>
  </si>
  <si>
    <t>Wedding</t>
  </si>
  <si>
    <t>Engagement</t>
  </si>
  <si>
    <t>Event</t>
  </si>
  <si>
    <t>Travel</t>
  </si>
  <si>
    <t>-</t>
  </si>
  <si>
    <t>Grand Total</t>
  </si>
  <si>
    <t>Row Labels</t>
  </si>
  <si>
    <t>Sum of Stage 2</t>
  </si>
  <si>
    <t>Sum of Stage 1</t>
  </si>
  <si>
    <t>Sum of Stage 3</t>
  </si>
  <si>
    <t>Sum of Stage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</si>
</sst>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6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[pricing.xlsx]SIMULATION!PivotTable1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SIMULATION!$C$14</c:f>
              <c:strCache>
                <c:ptCount val="1"/>
                <c:pt idx="0">
                  <c:v>Sum of Stage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SIMULATION!$B$15:$B$24</c:f>
              <c:strCache>
                <c:ptCount val="9"/>
                <c:pt idx="0">
                  <c:v>Beauty</c:v>
                </c:pt>
                <c:pt idx="1">
                  <c:v>Couple</c:v>
                </c:pt>
                <c:pt idx="2">
                  <c:v>Engagement</c:v>
                </c:pt>
                <c:pt idx="3">
                  <c:v>Event</c:v>
                </c:pt>
                <c:pt idx="4">
                  <c:v>Graduation</c:v>
                </c:pt>
                <c:pt idx="5">
                  <c:v>Personal</c:v>
                </c:pt>
                <c:pt idx="6">
                  <c:v>Prewedding</c:v>
                </c:pt>
                <c:pt idx="7">
                  <c:v>Travel</c:v>
                </c:pt>
                <c:pt idx="8">
                  <c:v>Wedding</c:v>
                </c:pt>
              </c:strCache>
            </c:strRef>
          </c:cat>
          <c:val>
            <c:numRef>
              <c:f>SIMULATION!$C$15:$C$24</c:f>
              <c:numCache>
                <c:formatCode>General</c:formatCode>
                <c:ptCount val="9"/>
                <c:pt idx="0">
                  <c:v>700000</c:v>
                </c:pt>
                <c:pt idx="1">
                  <c:v>940000</c:v>
                </c:pt>
                <c:pt idx="2">
                  <c:v>2200000</c:v>
                </c:pt>
                <c:pt idx="3">
                  <c:v>2080000</c:v>
                </c:pt>
                <c:pt idx="4">
                  <c:v>860000</c:v>
                </c:pt>
                <c:pt idx="5">
                  <c:v>900000</c:v>
                </c:pt>
                <c:pt idx="6">
                  <c:v>1940000</c:v>
                </c:pt>
                <c:pt idx="7">
                  <c:v>3360000</c:v>
                </c:pt>
                <c:pt idx="8">
                  <c:v>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65-4A50-AF58-9FD72397EE1B}"/>
            </c:ext>
          </c:extLst>
        </c:ser>
        <c:ser>
          <c:idx val="1"/>
          <c:order val="1"/>
          <c:tx>
            <c:strRef>
              <c:f>SIMULATION!$D$14</c:f>
              <c:strCache>
                <c:ptCount val="1"/>
                <c:pt idx="0">
                  <c:v>Sum of Stage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SIMULATION!$B$15:$B$24</c:f>
              <c:strCache>
                <c:ptCount val="9"/>
                <c:pt idx="0">
                  <c:v>Beauty</c:v>
                </c:pt>
                <c:pt idx="1">
                  <c:v>Couple</c:v>
                </c:pt>
                <c:pt idx="2">
                  <c:v>Engagement</c:v>
                </c:pt>
                <c:pt idx="3">
                  <c:v>Event</c:v>
                </c:pt>
                <c:pt idx="4">
                  <c:v>Graduation</c:v>
                </c:pt>
                <c:pt idx="5">
                  <c:v>Personal</c:v>
                </c:pt>
                <c:pt idx="6">
                  <c:v>Prewedding</c:v>
                </c:pt>
                <c:pt idx="7">
                  <c:v>Travel</c:v>
                </c:pt>
                <c:pt idx="8">
                  <c:v>Wedding</c:v>
                </c:pt>
              </c:strCache>
            </c:strRef>
          </c:cat>
          <c:val>
            <c:numRef>
              <c:f>SIMULATION!$D$15:$D$24</c:f>
              <c:numCache>
                <c:formatCode>General</c:formatCode>
                <c:ptCount val="9"/>
                <c:pt idx="0">
                  <c:v>1900000</c:v>
                </c:pt>
                <c:pt idx="1">
                  <c:v>1300000</c:v>
                </c:pt>
                <c:pt idx="2">
                  <c:v>3680000</c:v>
                </c:pt>
                <c:pt idx="3">
                  <c:v>3680000</c:v>
                </c:pt>
                <c:pt idx="4">
                  <c:v>1300000</c:v>
                </c:pt>
                <c:pt idx="5">
                  <c:v>1900000</c:v>
                </c:pt>
                <c:pt idx="6">
                  <c:v>3800000</c:v>
                </c:pt>
                <c:pt idx="7">
                  <c:v>6160000</c:v>
                </c:pt>
                <c:pt idx="8">
                  <c:v>9600000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365-4A50-AF58-9FD72397EE1B}"/>
            </c:ext>
          </c:extLst>
        </c:ser>
        <c:ser>
          <c:idx val="2"/>
          <c:order val="2"/>
          <c:tx>
            <c:strRef>
              <c:f>SIMULATION!$E$14</c:f>
              <c:strCache>
                <c:ptCount val="1"/>
                <c:pt idx="0">
                  <c:v>Sum of Stage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SIMULATION!$B$15:$B$24</c:f>
              <c:strCache>
                <c:ptCount val="9"/>
                <c:pt idx="0">
                  <c:v>Beauty</c:v>
                </c:pt>
                <c:pt idx="1">
                  <c:v>Couple</c:v>
                </c:pt>
                <c:pt idx="2">
                  <c:v>Engagement</c:v>
                </c:pt>
                <c:pt idx="3">
                  <c:v>Event</c:v>
                </c:pt>
                <c:pt idx="4">
                  <c:v>Graduation</c:v>
                </c:pt>
                <c:pt idx="5">
                  <c:v>Personal</c:v>
                </c:pt>
                <c:pt idx="6">
                  <c:v>Prewedding</c:v>
                </c:pt>
                <c:pt idx="7">
                  <c:v>Travel</c:v>
                </c:pt>
                <c:pt idx="8">
                  <c:v>Wedding</c:v>
                </c:pt>
              </c:strCache>
            </c:strRef>
          </c:cat>
          <c:val>
            <c:numRef>
              <c:f>SIMULATION!$E$15:$E$24</c:f>
              <c:numCache>
                <c:formatCode>General</c:formatCode>
                <c:ptCount val="9"/>
                <c:pt idx="0">
                  <c:v>0</c:v>
                </c:pt>
                <c:pt idx="1">
                  <c:v>2460000</c:v>
                </c:pt>
                <c:pt idx="2">
                  <c:v>6400000</c:v>
                </c:pt>
                <c:pt idx="3">
                  <c:v>6400000</c:v>
                </c:pt>
                <c:pt idx="4">
                  <c:v>2300000</c:v>
                </c:pt>
                <c:pt idx="5">
                  <c:v>3660000</c:v>
                </c:pt>
                <c:pt idx="6">
                  <c:v>7200000</c:v>
                </c:pt>
                <c:pt idx="7">
                  <c:v>11200000</c:v>
                </c:pt>
                <c:pt idx="8">
                  <c:v>15200000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365-4A50-AF58-9FD72397EE1B}"/>
            </c:ext>
          </c:extLst>
        </c:ser>
        <c:ser>
          <c:idx val="3"/>
          <c:order val="3"/>
          <c:tx>
            <c:strRef>
              <c:f>SIMULATION!$F$14</c:f>
              <c:strCache>
                <c:ptCount val="1"/>
                <c:pt idx="0">
                  <c:v>Sum of Stage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SIMULATION!$B$15:$B$24</c:f>
              <c:strCache>
                <c:ptCount val="9"/>
                <c:pt idx="0">
                  <c:v>Beauty</c:v>
                </c:pt>
                <c:pt idx="1">
                  <c:v>Couple</c:v>
                </c:pt>
                <c:pt idx="2">
                  <c:v>Engagement</c:v>
                </c:pt>
                <c:pt idx="3">
                  <c:v>Event</c:v>
                </c:pt>
                <c:pt idx="4">
                  <c:v>Graduation</c:v>
                </c:pt>
                <c:pt idx="5">
                  <c:v>Personal</c:v>
                </c:pt>
                <c:pt idx="6">
                  <c:v>Prewedding</c:v>
                </c:pt>
                <c:pt idx="7">
                  <c:v>Travel</c:v>
                </c:pt>
                <c:pt idx="8">
                  <c:v>Wedding</c:v>
                </c:pt>
              </c:strCache>
            </c:strRef>
          </c:cat>
          <c:val>
            <c:numRef>
              <c:f>SIMULATION!$F$15:$F$24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19200000</c:v>
                </c:pt>
                <c:pt idx="3">
                  <c:v>19200000</c:v>
                </c:pt>
                <c:pt idx="4">
                  <c:v>3900000</c:v>
                </c:pt>
                <c:pt idx="5">
                  <c:v>0</c:v>
                </c:pt>
                <c:pt idx="6">
                  <c:v>15200000</c:v>
                </c:pt>
                <c:pt idx="7">
                  <c:v>21600000</c:v>
                </c:pt>
                <c:pt idx="8">
                  <c:v>32800000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365-4A50-AF58-9FD72397E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188847"/>
        <c:axId val="1557184527"/>
      </c:barChart>
      <c:catAx>
        <c:axId val="155718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4527"/>
        <c:crosses val="autoZero"/>
        <c:auto val="1"/>
        <c:lblAlgn val="ctr"/>
        <c:lblOffset val="100"/>
        <c:noMultiLvlLbl val="0"/>
      </c:catAx>
      <c:valAx>
        <c:axId val="155718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18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11</xdr:row>
      <xdr:rowOff>142874</xdr:rowOff>
    </xdr:from>
    <xdr:to>
      <xdr:col>8</xdr:col>
      <xdr:colOff>152401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140305-7D28-8305-0BA7-93EBE496A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gus batra" refreshedDate="46321.410347106481" createdVersion="8" refreshedVersion="8" minRefreshableVersion="3" recordCount="9" xr:uid="{86571E55-2C53-4477-99D2-9F46A2F914CF}">
  <cacheSource type="worksheet">
    <worksheetSource ref="B2:G11" sheet="SIMULATION"/>
  </cacheSource>
  <cacheFields count="6">
    <cacheField name="PACKAGE" numFmtId="0">
      <sharedItems count="9">
        <s v="Graduation"/>
        <s v="Couple"/>
        <s v="Personal"/>
        <s v="Beauty"/>
        <s v="Prewedding"/>
        <s v="Wedding"/>
        <s v="Engagement"/>
        <s v="Event"/>
        <s v="Travel"/>
      </sharedItems>
    </cacheField>
    <cacheField name="Client" numFmtId="0">
      <sharedItems containsSemiMixedTypes="0" containsString="0" containsNumber="1" containsInteger="1" minValue="4" maxValue="4"/>
    </cacheField>
    <cacheField name="Stage 1" numFmtId="165">
      <sharedItems containsSemiMixedTypes="0" containsString="0" containsNumber="1" containsInteger="1" minValue="700000" maxValue="5200000" count="9">
        <n v="860000"/>
        <n v="940000"/>
        <n v="900000"/>
        <n v="700000"/>
        <n v="1940000"/>
        <n v="5200000"/>
        <n v="2200000"/>
        <n v="2080000"/>
        <n v="3360000"/>
      </sharedItems>
    </cacheField>
    <cacheField name="Stage 2" numFmtId="165">
      <sharedItems containsSemiMixedTypes="0" containsString="0" containsNumber="1" containsInteger="1" minValue="1300000" maxValue="9600000" count="6">
        <n v="1300000"/>
        <n v="1900000"/>
        <n v="3800000"/>
        <n v="9600000"/>
        <n v="3680000"/>
        <n v="6160000"/>
      </sharedItems>
    </cacheField>
    <cacheField name="Stage 3" numFmtId="165">
      <sharedItems containsMixedTypes="1" containsNumber="1" containsInteger="1" minValue="2300000" maxValue="15200000"/>
    </cacheField>
    <cacheField name="Stage 4" numFmtId="165">
      <sharedItems containsMixedTypes="1" containsNumber="1" containsInteger="1" minValue="3900000" maxValue="328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4"/>
    <x v="0"/>
    <x v="0"/>
    <n v="2300000"/>
    <n v="3900000"/>
  </r>
  <r>
    <x v="1"/>
    <n v="4"/>
    <x v="1"/>
    <x v="0"/>
    <n v="2460000"/>
    <s v="-"/>
  </r>
  <r>
    <x v="2"/>
    <n v="4"/>
    <x v="2"/>
    <x v="1"/>
    <n v="3660000"/>
    <s v="-"/>
  </r>
  <r>
    <x v="3"/>
    <n v="4"/>
    <x v="3"/>
    <x v="1"/>
    <s v="-"/>
    <s v="-"/>
  </r>
  <r>
    <x v="4"/>
    <n v="4"/>
    <x v="4"/>
    <x v="2"/>
    <n v="7200000"/>
    <n v="15200000"/>
  </r>
  <r>
    <x v="5"/>
    <n v="4"/>
    <x v="5"/>
    <x v="3"/>
    <n v="15200000"/>
    <n v="32800000"/>
  </r>
  <r>
    <x v="6"/>
    <n v="4"/>
    <x v="6"/>
    <x v="4"/>
    <n v="6400000"/>
    <n v="19200000"/>
  </r>
  <r>
    <x v="7"/>
    <n v="4"/>
    <x v="7"/>
    <x v="4"/>
    <n v="6400000"/>
    <n v="19200000"/>
  </r>
  <r>
    <x v="8"/>
    <n v="4"/>
    <x v="8"/>
    <x v="5"/>
    <n v="11200000"/>
    <n v="216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A9080-9907-4BEB-ACB7-E85178F5C4E7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14:F24" firstHeaderRow="0" firstDataRow="1" firstDataCol="1"/>
  <pivotFields count="6">
    <pivotField axis="axisRow" showAll="0">
      <items count="10">
        <item x="3"/>
        <item x="1"/>
        <item x="6"/>
        <item x="7"/>
        <item x="0"/>
        <item x="2"/>
        <item x="4"/>
        <item x="8"/>
        <item x="5"/>
        <item t="default"/>
      </items>
    </pivotField>
    <pivotField showAll="0"/>
    <pivotField dataField="1" numFmtId="165" showAll="0">
      <items count="10">
        <item x="3"/>
        <item x="0"/>
        <item x="2"/>
        <item x="1"/>
        <item x="4"/>
        <item x="7"/>
        <item x="6"/>
        <item x="8"/>
        <item x="5"/>
        <item t="default"/>
      </items>
    </pivotField>
    <pivotField dataField="1" numFmtId="165" showAll="0">
      <items count="7">
        <item x="0"/>
        <item x="1"/>
        <item x="4"/>
        <item x="2"/>
        <item x="5"/>
        <item x="3"/>
        <item t="default"/>
      </items>
    </pivotField>
    <pivotField dataField="1"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tage 1" fld="2" baseField="0" baseItem="0"/>
    <dataField name="Sum of Stage 2" fld="3" baseField="0" baseItem="0"/>
    <dataField name="Sum of Stage 3" fld="4" baseField="0" baseItem="0"/>
    <dataField name="Sum of Stage 4" fld="5" baseField="0" baseItem="0"/>
  </dataFields>
  <chartFormats count="22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0" count="1" selected="0">
            <x v="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0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C1" zoomScale="86" workbookViewId="0">
      <selection activeCell="R11" sqref="R11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498E-CFF0-4389-A69A-34CB8E5E601C}">
  <dimension ref="B1:G25"/>
  <sheetViews>
    <sheetView zoomScale="90" workbookViewId="0">
      <selection activeCell="F13" sqref="F13:G14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0</v>
      </c>
      <c r="D2" s="2" t="s">
        <v>5</v>
      </c>
      <c r="F2" s="13" t="s">
        <v>16</v>
      </c>
      <c r="G2" s="13"/>
    </row>
    <row r="3" spans="2:7" ht="25.5" customHeight="1">
      <c r="B3" s="3">
        <v>215000</v>
      </c>
      <c r="D3" s="3">
        <v>325000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2</v>
      </c>
      <c r="D5" s="4" t="s">
        <v>2</v>
      </c>
      <c r="F5" s="4" t="s">
        <v>17</v>
      </c>
      <c r="G5" s="6">
        <v>80000</v>
      </c>
    </row>
    <row r="6" spans="2:7">
      <c r="B6" s="4" t="s">
        <v>1</v>
      </c>
      <c r="D6" s="4" t="s">
        <v>6</v>
      </c>
      <c r="F6" s="4" t="s">
        <v>1</v>
      </c>
      <c r="G6" s="6">
        <v>100000</v>
      </c>
    </row>
    <row r="7" spans="2:7">
      <c r="B7" s="4" t="s">
        <v>3</v>
      </c>
      <c r="D7" s="4" t="s">
        <v>3</v>
      </c>
      <c r="F7" s="4" t="s">
        <v>18</v>
      </c>
      <c r="G7" s="6">
        <v>120000</v>
      </c>
    </row>
    <row r="8" spans="2:7">
      <c r="B8" s="4" t="s">
        <v>4</v>
      </c>
      <c r="D8" s="4" t="s">
        <v>4</v>
      </c>
      <c r="F8" s="4" t="s">
        <v>3</v>
      </c>
      <c r="G8" s="6">
        <v>35000</v>
      </c>
    </row>
    <row r="9" spans="2:7">
      <c r="D9" s="4" t="s">
        <v>7</v>
      </c>
      <c r="F9" s="4" t="s">
        <v>19</v>
      </c>
      <c r="G9" s="6">
        <v>50000</v>
      </c>
    </row>
    <row r="13" spans="2:7" ht="26.25" customHeight="1">
      <c r="B13" s="2" t="s">
        <v>8</v>
      </c>
      <c r="D13" s="2" t="s">
        <v>15</v>
      </c>
      <c r="F13" s="14" t="s">
        <v>24</v>
      </c>
      <c r="G13" s="13"/>
    </row>
    <row r="14" spans="2:7" ht="25.5" customHeight="1">
      <c r="B14" s="3">
        <v>575000</v>
      </c>
      <c r="D14" s="3">
        <v>975000</v>
      </c>
      <c r="F14" s="13"/>
      <c r="G14" s="13"/>
    </row>
    <row r="15" spans="2:7" ht="6.75" customHeight="1">
      <c r="B15" s="4"/>
      <c r="D15" s="4"/>
      <c r="F15" s="4"/>
      <c r="G15" s="4"/>
    </row>
    <row r="16" spans="2:7">
      <c r="B16" s="4" t="s">
        <v>9</v>
      </c>
      <c r="D16" s="4" t="s">
        <v>14</v>
      </c>
      <c r="F16" s="4" t="s">
        <v>20</v>
      </c>
      <c r="G16" s="6">
        <v>-50000</v>
      </c>
    </row>
    <row r="17" spans="2:7">
      <c r="B17" s="4" t="s">
        <v>10</v>
      </c>
      <c r="D17" s="4" t="s">
        <v>13</v>
      </c>
      <c r="F17" s="4" t="s">
        <v>21</v>
      </c>
      <c r="G17" s="4" t="str">
        <f>"-50000"&amp;" &amp; "&amp;"-25000"</f>
        <v>-50000 &amp; -25000</v>
      </c>
    </row>
    <row r="18" spans="2:7">
      <c r="B18" s="4" t="s">
        <v>11</v>
      </c>
      <c r="D18" s="4" t="s">
        <v>11</v>
      </c>
      <c r="F18" s="4" t="s">
        <v>22</v>
      </c>
      <c r="G18" s="7" t="str">
        <f>"-50%"&amp;" All Type"</f>
        <v>-50% All Type</v>
      </c>
    </row>
    <row r="19" spans="2:7">
      <c r="B19" s="4" t="s">
        <v>4</v>
      </c>
      <c r="D19" s="4" t="s">
        <v>4</v>
      </c>
    </row>
    <row r="20" spans="2:7">
      <c r="B20" s="4" t="s">
        <v>7</v>
      </c>
      <c r="D20" s="4" t="s">
        <v>7</v>
      </c>
    </row>
    <row r="21" spans="2:7">
      <c r="B21" s="4" t="s">
        <v>12</v>
      </c>
      <c r="D21" s="4" t="s">
        <v>12</v>
      </c>
    </row>
    <row r="25" spans="2:7" ht="26.25" customHeight="1"/>
  </sheetData>
  <mergeCells count="2">
    <mergeCell ref="F2:G3"/>
    <mergeCell ref="F13:G1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C927-4F2F-4896-BBDB-E8861F8EED92}">
  <dimension ref="B1:G25"/>
  <sheetViews>
    <sheetView zoomScale="90" workbookViewId="0">
      <selection activeCell="D24" sqref="D24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25</v>
      </c>
      <c r="D2" s="2" t="s">
        <v>26</v>
      </c>
      <c r="F2" s="13" t="s">
        <v>16</v>
      </c>
      <c r="G2" s="13"/>
    </row>
    <row r="3" spans="2:7" ht="25.5" customHeight="1">
      <c r="B3" s="3">
        <v>235000</v>
      </c>
      <c r="D3" s="3">
        <v>325000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2</v>
      </c>
      <c r="D5" s="4" t="s">
        <v>9</v>
      </c>
      <c r="F5" s="4" t="s">
        <v>17</v>
      </c>
      <c r="G5" s="6">
        <v>80000</v>
      </c>
    </row>
    <row r="6" spans="2:7">
      <c r="B6" s="4" t="s">
        <v>23</v>
      </c>
      <c r="D6" s="4" t="s">
        <v>23</v>
      </c>
      <c r="F6" s="4" t="s">
        <v>1</v>
      </c>
      <c r="G6" s="6">
        <v>100000</v>
      </c>
    </row>
    <row r="7" spans="2:7">
      <c r="B7" s="4" t="s">
        <v>3</v>
      </c>
      <c r="D7" s="4" t="s">
        <v>3</v>
      </c>
      <c r="F7" s="4" t="s">
        <v>18</v>
      </c>
      <c r="G7" s="6">
        <v>120000</v>
      </c>
    </row>
    <row r="8" spans="2:7">
      <c r="B8" s="4" t="s">
        <v>4</v>
      </c>
      <c r="D8" s="4" t="s">
        <v>4</v>
      </c>
      <c r="F8" s="4" t="s">
        <v>3</v>
      </c>
      <c r="G8" s="6">
        <v>35000</v>
      </c>
    </row>
    <row r="9" spans="2:7">
      <c r="D9" s="4" t="s">
        <v>7</v>
      </c>
      <c r="F9" s="4" t="s">
        <v>19</v>
      </c>
      <c r="G9" s="6">
        <v>50000</v>
      </c>
    </row>
    <row r="13" spans="2:7" ht="26.25" customHeight="1">
      <c r="B13" s="2" t="s">
        <v>27</v>
      </c>
      <c r="D13" s="8"/>
      <c r="F13" s="14" t="s">
        <v>24</v>
      </c>
      <c r="G13" s="13"/>
    </row>
    <row r="14" spans="2:7" ht="25.5" customHeight="1">
      <c r="B14" s="3">
        <v>615000</v>
      </c>
      <c r="D14" s="9"/>
      <c r="F14" s="13"/>
      <c r="G14" s="13"/>
    </row>
    <row r="15" spans="2:7" ht="6.75" customHeight="1">
      <c r="B15" s="4"/>
      <c r="D15" s="10"/>
      <c r="F15" s="4"/>
      <c r="G15" s="4"/>
    </row>
    <row r="16" spans="2:7">
      <c r="B16" s="4" t="s">
        <v>9</v>
      </c>
      <c r="D16" s="10"/>
      <c r="F16" s="4" t="s">
        <v>20</v>
      </c>
      <c r="G16" s="6">
        <v>-50000</v>
      </c>
    </row>
    <row r="17" spans="2:7">
      <c r="B17" s="4" t="s">
        <v>28</v>
      </c>
      <c r="D17" s="10"/>
      <c r="F17" s="4" t="s">
        <v>21</v>
      </c>
      <c r="G17" s="4" t="str">
        <f>"-50000"&amp;" &amp; "&amp;"-25000"</f>
        <v>-50000 &amp; -25000</v>
      </c>
    </row>
    <row r="18" spans="2:7">
      <c r="B18" s="4" t="s">
        <v>11</v>
      </c>
      <c r="D18" s="10"/>
      <c r="F18" s="4" t="s">
        <v>22</v>
      </c>
      <c r="G18" s="7" t="str">
        <f>"-50%"&amp;" All Type"</f>
        <v>-50% All Type</v>
      </c>
    </row>
    <row r="19" spans="2:7">
      <c r="B19" s="4" t="s">
        <v>4</v>
      </c>
      <c r="D19" s="10"/>
    </row>
    <row r="20" spans="2:7">
      <c r="B20" s="4" t="s">
        <v>7</v>
      </c>
      <c r="D20" s="10"/>
    </row>
    <row r="21" spans="2:7">
      <c r="B21" s="4" t="s">
        <v>12</v>
      </c>
      <c r="D21" s="10"/>
    </row>
    <row r="22" spans="2:7">
      <c r="B22" s="4" t="s">
        <v>60</v>
      </c>
    </row>
    <row r="25" spans="2:7" ht="26.25" customHeight="1"/>
  </sheetData>
  <mergeCells count="2">
    <mergeCell ref="F2:G3"/>
    <mergeCell ref="F13:G1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C4C1-1C9C-429F-AA75-8EBC75D29B6C}">
  <dimension ref="B1:G25"/>
  <sheetViews>
    <sheetView zoomScale="90" workbookViewId="0">
      <selection activeCell="B15" sqref="B15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29</v>
      </c>
      <c r="D2" s="2" t="s">
        <v>31</v>
      </c>
      <c r="F2" s="13" t="s">
        <v>16</v>
      </c>
      <c r="G2" s="13"/>
    </row>
    <row r="3" spans="2:7" ht="25.5" customHeight="1">
      <c r="B3" s="3">
        <v>225000</v>
      </c>
      <c r="D3" s="3">
        <v>475000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2</v>
      </c>
      <c r="D5" s="4" t="s">
        <v>9</v>
      </c>
      <c r="F5" s="4" t="s">
        <v>17</v>
      </c>
      <c r="G5" s="6">
        <v>80000</v>
      </c>
    </row>
    <row r="6" spans="2:7">
      <c r="B6" s="4" t="s">
        <v>1</v>
      </c>
      <c r="D6" s="4" t="s">
        <v>1</v>
      </c>
      <c r="F6" s="4" t="s">
        <v>1</v>
      </c>
      <c r="G6" s="6">
        <v>100000</v>
      </c>
    </row>
    <row r="7" spans="2:7">
      <c r="B7" s="4" t="s">
        <v>3</v>
      </c>
      <c r="D7" s="4" t="s">
        <v>3</v>
      </c>
      <c r="F7" s="4" t="s">
        <v>18</v>
      </c>
      <c r="G7" s="6">
        <v>120000</v>
      </c>
    </row>
    <row r="8" spans="2:7">
      <c r="B8" s="4" t="s">
        <v>4</v>
      </c>
      <c r="D8" s="4" t="s">
        <v>4</v>
      </c>
      <c r="F8" s="4" t="s">
        <v>3</v>
      </c>
      <c r="G8" s="6">
        <v>35000</v>
      </c>
    </row>
    <row r="9" spans="2:7">
      <c r="D9" s="4" t="s">
        <v>7</v>
      </c>
      <c r="F9" s="4" t="s">
        <v>19</v>
      </c>
      <c r="G9" s="6">
        <v>50000</v>
      </c>
    </row>
    <row r="10" spans="2:7">
      <c r="D10" s="4" t="s">
        <v>30</v>
      </c>
    </row>
    <row r="13" spans="2:7" ht="26.25" customHeight="1">
      <c r="B13" s="2" t="s">
        <v>32</v>
      </c>
      <c r="D13" s="8"/>
      <c r="F13" s="14" t="s">
        <v>24</v>
      </c>
      <c r="G13" s="13"/>
    </row>
    <row r="14" spans="2:7" ht="25.5" customHeight="1">
      <c r="B14" s="3">
        <v>915000</v>
      </c>
      <c r="D14" s="9"/>
      <c r="F14" s="13"/>
      <c r="G14" s="13"/>
    </row>
    <row r="15" spans="2:7" ht="6.75" customHeight="1">
      <c r="B15" s="4"/>
      <c r="D15" s="10"/>
      <c r="F15" s="4"/>
      <c r="G15" s="4"/>
    </row>
    <row r="16" spans="2:7">
      <c r="B16" s="4" t="s">
        <v>9</v>
      </c>
      <c r="D16" s="10"/>
      <c r="F16" s="4" t="s">
        <v>20</v>
      </c>
      <c r="G16" s="6">
        <v>-50000</v>
      </c>
    </row>
    <row r="17" spans="2:7">
      <c r="B17" s="4" t="s">
        <v>35</v>
      </c>
      <c r="D17" s="10"/>
      <c r="F17" s="4" t="s">
        <v>21</v>
      </c>
      <c r="G17" s="4" t="str">
        <f>"-50000"&amp;" &amp; "&amp;"-25000"</f>
        <v>-50000 &amp; -25000</v>
      </c>
    </row>
    <row r="18" spans="2:7">
      <c r="B18" s="4" t="s">
        <v>11</v>
      </c>
      <c r="D18" s="10"/>
      <c r="F18" s="4" t="s">
        <v>22</v>
      </c>
      <c r="G18" s="7" t="str">
        <f>"-50%"&amp;" All Type"</f>
        <v>-50% All Type</v>
      </c>
    </row>
    <row r="19" spans="2:7">
      <c r="B19" s="4" t="s">
        <v>4</v>
      </c>
      <c r="D19" s="10"/>
    </row>
    <row r="20" spans="2:7">
      <c r="B20" s="4" t="s">
        <v>7</v>
      </c>
      <c r="D20" s="10"/>
    </row>
    <row r="21" spans="2:7">
      <c r="B21" s="4" t="s">
        <v>33</v>
      </c>
      <c r="D21" s="10"/>
    </row>
    <row r="22" spans="2:7">
      <c r="B22" s="4" t="s">
        <v>34</v>
      </c>
    </row>
    <row r="25" spans="2:7" ht="26.25" customHeight="1"/>
  </sheetData>
  <mergeCells count="2">
    <mergeCell ref="F2:G3"/>
    <mergeCell ref="F13:G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4BA3E-0F1D-4DE8-8401-F1BA58FC44F6}">
  <dimension ref="B1:G25"/>
  <sheetViews>
    <sheetView zoomScale="90" workbookViewId="0">
      <selection activeCell="D6" sqref="D6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36</v>
      </c>
      <c r="D2" s="2" t="s">
        <v>37</v>
      </c>
      <c r="F2" s="13" t="s">
        <v>16</v>
      </c>
      <c r="G2" s="13"/>
    </row>
    <row r="3" spans="2:7" ht="25.5" customHeight="1">
      <c r="B3" s="3">
        <v>175000</v>
      </c>
      <c r="D3" s="3">
        <v>475000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2</v>
      </c>
      <c r="D5" s="4" t="s">
        <v>14</v>
      </c>
      <c r="F5" s="4" t="s">
        <v>17</v>
      </c>
      <c r="G5" s="6">
        <v>80000</v>
      </c>
    </row>
    <row r="6" spans="2:7">
      <c r="B6" s="4" t="s">
        <v>1</v>
      </c>
      <c r="D6" s="4" t="s">
        <v>10</v>
      </c>
      <c r="F6" s="4" t="s">
        <v>1</v>
      </c>
      <c r="G6" s="6">
        <v>100000</v>
      </c>
    </row>
    <row r="7" spans="2:7">
      <c r="B7" s="4" t="s">
        <v>3</v>
      </c>
      <c r="D7" s="4" t="s">
        <v>38</v>
      </c>
      <c r="F7" s="4" t="s">
        <v>18</v>
      </c>
      <c r="G7" s="6">
        <v>120000</v>
      </c>
    </row>
    <row r="8" spans="2:7">
      <c r="B8" s="4" t="s">
        <v>4</v>
      </c>
      <c r="D8" s="4" t="s">
        <v>11</v>
      </c>
      <c r="F8" s="4" t="s">
        <v>3</v>
      </c>
      <c r="G8" s="6">
        <v>35000</v>
      </c>
    </row>
    <row r="9" spans="2:7">
      <c r="D9" s="4" t="s">
        <v>4</v>
      </c>
      <c r="F9" s="4" t="s">
        <v>19</v>
      </c>
      <c r="G9" s="6">
        <v>50000</v>
      </c>
    </row>
    <row r="10" spans="2:7">
      <c r="D10" s="4" t="s">
        <v>7</v>
      </c>
    </row>
    <row r="11" spans="2:7">
      <c r="D11" s="4" t="s">
        <v>30</v>
      </c>
    </row>
    <row r="13" spans="2:7" ht="26.25" customHeight="1">
      <c r="B13" s="8"/>
      <c r="D13" s="8"/>
      <c r="F13" s="14" t="s">
        <v>24</v>
      </c>
      <c r="G13" s="13"/>
    </row>
    <row r="14" spans="2:7" ht="25.5" customHeight="1">
      <c r="B14" s="9"/>
      <c r="D14" s="9"/>
      <c r="F14" s="13"/>
      <c r="G14" s="13"/>
    </row>
    <row r="15" spans="2:7" ht="6.75" customHeight="1">
      <c r="B15" s="10"/>
      <c r="D15" s="10"/>
      <c r="F15" s="4"/>
      <c r="G15" s="4"/>
    </row>
    <row r="16" spans="2:7">
      <c r="B16" s="10"/>
      <c r="D16" s="10"/>
      <c r="F16" s="4" t="s">
        <v>20</v>
      </c>
      <c r="G16" s="6">
        <v>-50000</v>
      </c>
    </row>
    <row r="17" spans="2:7">
      <c r="B17" s="10"/>
      <c r="D17" s="10"/>
      <c r="F17" s="4" t="s">
        <v>21</v>
      </c>
      <c r="G17" s="4" t="str">
        <f>"-50000"&amp;" &amp; "&amp;"-25000"</f>
        <v>-50000 &amp; -25000</v>
      </c>
    </row>
    <row r="18" spans="2:7">
      <c r="B18" s="10"/>
      <c r="D18" s="10"/>
      <c r="F18" s="4" t="s">
        <v>22</v>
      </c>
      <c r="G18" s="7" t="str">
        <f>"-50%"&amp;" All Type"</f>
        <v>-50% All Type</v>
      </c>
    </row>
    <row r="19" spans="2:7">
      <c r="B19" s="10"/>
      <c r="D19" s="10"/>
    </row>
    <row r="20" spans="2:7">
      <c r="B20" s="10"/>
      <c r="D20" s="10"/>
    </row>
    <row r="21" spans="2:7">
      <c r="B21" s="10"/>
      <c r="D21" s="10"/>
    </row>
    <row r="22" spans="2:7">
      <c r="B22" s="10"/>
    </row>
    <row r="25" spans="2:7" ht="26.25" customHeight="1"/>
  </sheetData>
  <mergeCells count="2">
    <mergeCell ref="F2:G3"/>
    <mergeCell ref="F13:G1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28C7-FCFA-41CE-86C8-CD4AD79C92B0}">
  <dimension ref="B1:G29"/>
  <sheetViews>
    <sheetView zoomScale="90" workbookViewId="0">
      <selection activeCell="D16" sqref="D16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39</v>
      </c>
      <c r="D2" s="2" t="s">
        <v>43</v>
      </c>
      <c r="F2" s="13" t="s">
        <v>16</v>
      </c>
      <c r="G2" s="13"/>
    </row>
    <row r="3" spans="2:7" ht="25.5" customHeight="1">
      <c r="B3" s="3">
        <v>485000</v>
      </c>
      <c r="D3" s="3">
        <v>950000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2</v>
      </c>
      <c r="D5" s="4" t="s">
        <v>14</v>
      </c>
      <c r="F5" s="4" t="s">
        <v>17</v>
      </c>
      <c r="G5" s="6">
        <v>120000</v>
      </c>
    </row>
    <row r="6" spans="2:7">
      <c r="B6" s="4" t="s">
        <v>40</v>
      </c>
      <c r="D6" s="4" t="s">
        <v>40</v>
      </c>
      <c r="F6" s="4" t="s">
        <v>18</v>
      </c>
      <c r="G6" s="6">
        <v>120000</v>
      </c>
    </row>
    <row r="7" spans="2:7">
      <c r="B7" s="4" t="s">
        <v>41</v>
      </c>
      <c r="D7" s="4" t="s">
        <v>42</v>
      </c>
      <c r="F7" s="4" t="s">
        <v>61</v>
      </c>
      <c r="G7" s="6">
        <v>350000</v>
      </c>
    </row>
    <row r="8" spans="2:7">
      <c r="B8" s="4" t="s">
        <v>3</v>
      </c>
      <c r="D8" s="4" t="s">
        <v>38</v>
      </c>
      <c r="F8" s="4" t="s">
        <v>19</v>
      </c>
      <c r="G8" s="6">
        <v>50000</v>
      </c>
    </row>
    <row r="9" spans="2:7">
      <c r="B9" s="4" t="s">
        <v>4</v>
      </c>
      <c r="D9" s="4" t="s">
        <v>11</v>
      </c>
    </row>
    <row r="10" spans="2:7">
      <c r="D10" s="4" t="s">
        <v>4</v>
      </c>
      <c r="F10" s="10"/>
      <c r="G10" s="11"/>
    </row>
    <row r="11" spans="2:7">
      <c r="D11" s="4" t="s">
        <v>7</v>
      </c>
    </row>
    <row r="12" spans="2:7">
      <c r="D12" s="10"/>
    </row>
    <row r="14" spans="2:7" ht="26.25" customHeight="1">
      <c r="B14" s="2" t="s">
        <v>44</v>
      </c>
      <c r="D14" s="2" t="s">
        <v>55</v>
      </c>
      <c r="F14" s="14" t="s">
        <v>24</v>
      </c>
      <c r="G14" s="13"/>
    </row>
    <row r="15" spans="2:7" ht="25.5" customHeight="1">
      <c r="B15" s="3">
        <v>1800000</v>
      </c>
      <c r="D15" s="3">
        <v>3800000</v>
      </c>
      <c r="F15" s="13"/>
      <c r="G15" s="13"/>
    </row>
    <row r="16" spans="2:7" ht="6.75" customHeight="1">
      <c r="B16" s="4"/>
      <c r="D16" s="4"/>
      <c r="F16" s="4"/>
      <c r="G16" s="4"/>
    </row>
    <row r="17" spans="2:7">
      <c r="B17" s="4" t="s">
        <v>45</v>
      </c>
      <c r="D17" s="4" t="s">
        <v>50</v>
      </c>
      <c r="F17" s="4" t="s">
        <v>20</v>
      </c>
      <c r="G17" s="6">
        <v>-50000</v>
      </c>
    </row>
    <row r="18" spans="2:7">
      <c r="B18" s="4" t="s">
        <v>40</v>
      </c>
      <c r="D18" s="4" t="s">
        <v>40</v>
      </c>
      <c r="F18" s="4" t="s">
        <v>21</v>
      </c>
      <c r="G18" s="4" t="str">
        <f>"-50000"&amp;" &amp; "&amp;"-25000"</f>
        <v>-50000 &amp; -25000</v>
      </c>
    </row>
    <row r="19" spans="2:7">
      <c r="B19" s="4" t="s">
        <v>46</v>
      </c>
      <c r="D19" s="4" t="s">
        <v>51</v>
      </c>
      <c r="F19" s="4" t="s">
        <v>22</v>
      </c>
      <c r="G19" s="7" t="str">
        <f>"-50%"&amp;" All Type"</f>
        <v>-50% All Type</v>
      </c>
    </row>
    <row r="20" spans="2:7">
      <c r="B20" s="4" t="s">
        <v>38</v>
      </c>
      <c r="D20" s="4" t="s">
        <v>53</v>
      </c>
    </row>
    <row r="21" spans="2:7">
      <c r="B21" s="4" t="s">
        <v>47</v>
      </c>
      <c r="D21" s="4" t="s">
        <v>52</v>
      </c>
    </row>
    <row r="22" spans="2:7">
      <c r="B22" s="4" t="s">
        <v>4</v>
      </c>
      <c r="D22" s="4" t="s">
        <v>47</v>
      </c>
    </row>
    <row r="23" spans="2:7">
      <c r="B23" s="4" t="s">
        <v>7</v>
      </c>
      <c r="D23" s="4" t="s">
        <v>54</v>
      </c>
    </row>
    <row r="24" spans="2:7">
      <c r="B24" s="4" t="s">
        <v>48</v>
      </c>
      <c r="D24" s="4" t="s">
        <v>56</v>
      </c>
    </row>
    <row r="25" spans="2:7" ht="15.75" customHeight="1">
      <c r="B25" s="4" t="s">
        <v>49</v>
      </c>
      <c r="D25" s="4" t="s">
        <v>48</v>
      </c>
    </row>
    <row r="26" spans="2:7" ht="15.75" customHeight="1">
      <c r="D26" s="4" t="s">
        <v>57</v>
      </c>
    </row>
    <row r="27" spans="2:7">
      <c r="D27" s="4" t="s">
        <v>49</v>
      </c>
    </row>
    <row r="28" spans="2:7">
      <c r="D28" s="4" t="s">
        <v>58</v>
      </c>
    </row>
    <row r="29" spans="2:7">
      <c r="D29" s="4" t="s">
        <v>59</v>
      </c>
    </row>
  </sheetData>
  <mergeCells count="2">
    <mergeCell ref="F2:G3"/>
    <mergeCell ref="F14:G1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E75C3-91B2-44EA-9723-79A38490D984}">
  <dimension ref="B1:G28"/>
  <sheetViews>
    <sheetView zoomScale="87" workbookViewId="0">
      <selection activeCell="H31" sqref="H31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62</v>
      </c>
      <c r="D2" s="2" t="s">
        <v>62</v>
      </c>
      <c r="F2" s="13" t="s">
        <v>16</v>
      </c>
      <c r="G2" s="13"/>
    </row>
    <row r="3" spans="2:7" ht="25.5" customHeight="1">
      <c r="B3" s="3">
        <v>1300000</v>
      </c>
      <c r="D3" s="3">
        <v>2400000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63</v>
      </c>
      <c r="D5" s="4" t="s">
        <v>63</v>
      </c>
      <c r="F5" s="4" t="s">
        <v>67</v>
      </c>
      <c r="G5" s="6">
        <v>120000</v>
      </c>
    </row>
    <row r="6" spans="2:7">
      <c r="B6" s="4" t="s">
        <v>64</v>
      </c>
      <c r="D6" s="4" t="s">
        <v>64</v>
      </c>
      <c r="F6" s="4" t="s">
        <v>18</v>
      </c>
      <c r="G6" s="6">
        <v>120000</v>
      </c>
    </row>
    <row r="7" spans="2:7">
      <c r="B7" s="4" t="s">
        <v>48</v>
      </c>
      <c r="D7" s="4" t="s">
        <v>57</v>
      </c>
      <c r="F7" s="4" t="s">
        <v>61</v>
      </c>
      <c r="G7" s="6">
        <v>350000</v>
      </c>
    </row>
    <row r="8" spans="2:7">
      <c r="B8" s="4" t="s">
        <v>65</v>
      </c>
      <c r="D8" s="4" t="s">
        <v>68</v>
      </c>
      <c r="F8" s="4" t="s">
        <v>19</v>
      </c>
      <c r="G8" s="6">
        <v>50000</v>
      </c>
    </row>
    <row r="9" spans="2:7">
      <c r="B9" s="4" t="s">
        <v>4</v>
      </c>
      <c r="D9" s="4" t="s">
        <v>66</v>
      </c>
    </row>
    <row r="10" spans="2:7">
      <c r="D10" s="4" t="s">
        <v>4</v>
      </c>
      <c r="F10" s="10"/>
      <c r="G10" s="11"/>
    </row>
    <row r="12" spans="2:7">
      <c r="D12" s="10"/>
    </row>
    <row r="14" spans="2:7" ht="26.25" customHeight="1">
      <c r="B14" s="2" t="s">
        <v>71</v>
      </c>
      <c r="D14" s="2" t="s">
        <v>72</v>
      </c>
      <c r="F14" s="14" t="s">
        <v>24</v>
      </c>
      <c r="G14" s="13"/>
    </row>
    <row r="15" spans="2:7" ht="25.5" customHeight="1">
      <c r="B15" s="3">
        <v>3800000</v>
      </c>
      <c r="D15" s="3">
        <v>8200000</v>
      </c>
      <c r="F15" s="13"/>
      <c r="G15" s="13"/>
    </row>
    <row r="16" spans="2:7" ht="6.75" customHeight="1">
      <c r="B16" s="4"/>
      <c r="D16" s="4"/>
      <c r="F16" s="4"/>
      <c r="G16" s="4"/>
    </row>
    <row r="17" spans="2:7">
      <c r="B17" s="4" t="s">
        <v>70</v>
      </c>
      <c r="D17" s="4" t="s">
        <v>70</v>
      </c>
      <c r="F17" s="4" t="s">
        <v>20</v>
      </c>
      <c r="G17" s="6">
        <v>-50000</v>
      </c>
    </row>
    <row r="18" spans="2:7">
      <c r="B18" s="4" t="s">
        <v>64</v>
      </c>
      <c r="D18" s="4" t="s">
        <v>64</v>
      </c>
      <c r="F18" s="4" t="s">
        <v>21</v>
      </c>
      <c r="G18" s="4" t="str">
        <f>"-50000"&amp;" &amp; "&amp;"-25000"</f>
        <v>-50000 &amp; -25000</v>
      </c>
    </row>
    <row r="19" spans="2:7">
      <c r="B19" s="4" t="s">
        <v>57</v>
      </c>
      <c r="D19" s="4" t="s">
        <v>73</v>
      </c>
      <c r="F19" s="4" t="s">
        <v>22</v>
      </c>
      <c r="G19" s="7" t="str">
        <f>"-50%"&amp;" All Type"</f>
        <v>-50% All Type</v>
      </c>
    </row>
    <row r="20" spans="2:7">
      <c r="B20" s="4" t="s">
        <v>69</v>
      </c>
      <c r="D20" s="4" t="s">
        <v>48</v>
      </c>
    </row>
    <row r="21" spans="2:7">
      <c r="B21" s="4" t="s">
        <v>58</v>
      </c>
      <c r="D21" s="4" t="s">
        <v>69</v>
      </c>
    </row>
    <row r="22" spans="2:7">
      <c r="B22" s="4" t="s">
        <v>66</v>
      </c>
      <c r="D22" s="4" t="s">
        <v>58</v>
      </c>
    </row>
    <row r="23" spans="2:7">
      <c r="B23" s="4" t="s">
        <v>4</v>
      </c>
      <c r="D23" s="4" t="s">
        <v>74</v>
      </c>
    </row>
    <row r="24" spans="2:7">
      <c r="D24" s="4" t="s">
        <v>56</v>
      </c>
    </row>
    <row r="25" spans="2:7" ht="15.75" customHeight="1">
      <c r="D25" s="4" t="s">
        <v>75</v>
      </c>
    </row>
    <row r="26" spans="2:7" ht="15.75" customHeight="1">
      <c r="D26" s="4" t="s">
        <v>76</v>
      </c>
    </row>
    <row r="27" spans="2:7">
      <c r="D27" s="4" t="s">
        <v>66</v>
      </c>
    </row>
    <row r="28" spans="2:7">
      <c r="D28" s="4" t="s">
        <v>59</v>
      </c>
    </row>
  </sheetData>
  <mergeCells count="2">
    <mergeCell ref="F2:G3"/>
    <mergeCell ref="F14:G1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F7258-105E-4A19-B86D-E5B2236F720D}">
  <dimension ref="B1:G34"/>
  <sheetViews>
    <sheetView zoomScale="87" workbookViewId="0">
      <selection activeCell="B3" sqref="B3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2" t="s">
        <v>84</v>
      </c>
      <c r="D2" s="2" t="s">
        <v>77</v>
      </c>
      <c r="F2" s="13" t="s">
        <v>16</v>
      </c>
      <c r="G2" s="13"/>
    </row>
    <row r="3" spans="2:7" ht="25.5" customHeight="1">
      <c r="B3" s="3">
        <v>550000</v>
      </c>
      <c r="D3" s="3">
        <v>920000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80</v>
      </c>
      <c r="D5" s="4" t="s">
        <v>80</v>
      </c>
      <c r="F5" s="4" t="s">
        <v>67</v>
      </c>
      <c r="G5" s="6">
        <v>120000</v>
      </c>
    </row>
    <row r="6" spans="2:7">
      <c r="B6" s="4" t="s">
        <v>64</v>
      </c>
      <c r="D6" s="4" t="s">
        <v>64</v>
      </c>
      <c r="F6" s="4" t="s">
        <v>18</v>
      </c>
      <c r="G6" s="6">
        <v>120000</v>
      </c>
    </row>
    <row r="7" spans="2:7">
      <c r="B7" s="4" t="s">
        <v>48</v>
      </c>
      <c r="D7" s="4" t="s">
        <v>48</v>
      </c>
      <c r="F7" s="4" t="s">
        <v>61</v>
      </c>
      <c r="G7" s="6">
        <v>350000</v>
      </c>
    </row>
    <row r="8" spans="2:7">
      <c r="B8" s="4" t="s">
        <v>65</v>
      </c>
      <c r="D8" s="4" t="s">
        <v>68</v>
      </c>
      <c r="F8" s="4" t="s">
        <v>19</v>
      </c>
      <c r="G8" s="6">
        <v>50000</v>
      </c>
    </row>
    <row r="9" spans="2:7">
      <c r="B9" s="4" t="s">
        <v>4</v>
      </c>
      <c r="D9" s="4" t="s">
        <v>66</v>
      </c>
    </row>
    <row r="10" spans="2:7">
      <c r="D10" s="4" t="s">
        <v>4</v>
      </c>
      <c r="F10" s="10"/>
      <c r="G10" s="11"/>
    </row>
    <row r="12" spans="2:7">
      <c r="D12" s="10"/>
    </row>
    <row r="14" spans="2:7" ht="26.25" customHeight="1">
      <c r="B14" s="2" t="s">
        <v>78</v>
      </c>
      <c r="D14" s="2" t="s">
        <v>79</v>
      </c>
      <c r="F14" s="14" t="s">
        <v>24</v>
      </c>
      <c r="G14" s="13"/>
    </row>
    <row r="15" spans="2:7" ht="25.5" customHeight="1">
      <c r="B15" s="3">
        <v>1600000</v>
      </c>
      <c r="D15" s="3">
        <v>4800000</v>
      </c>
      <c r="F15" s="13"/>
      <c r="G15" s="13"/>
    </row>
    <row r="16" spans="2:7" ht="6.75" customHeight="1">
      <c r="B16" s="4"/>
      <c r="D16" s="4"/>
      <c r="F16" s="4"/>
      <c r="G16" s="4"/>
    </row>
    <row r="17" spans="2:7">
      <c r="B17" s="4" t="s">
        <v>81</v>
      </c>
      <c r="D17" s="4" t="s">
        <v>82</v>
      </c>
      <c r="F17" s="4" t="s">
        <v>20</v>
      </c>
      <c r="G17" s="6">
        <v>-50000</v>
      </c>
    </row>
    <row r="18" spans="2:7">
      <c r="B18" s="4" t="s">
        <v>64</v>
      </c>
      <c r="D18" s="4" t="s">
        <v>64</v>
      </c>
      <c r="F18" s="4" t="s">
        <v>21</v>
      </c>
      <c r="G18" s="4" t="str">
        <f>"-50000"&amp;" &amp; "&amp;"-25000"</f>
        <v>-50000 &amp; -25000</v>
      </c>
    </row>
    <row r="19" spans="2:7">
      <c r="B19" s="4" t="s">
        <v>57</v>
      </c>
      <c r="D19" s="4" t="s">
        <v>73</v>
      </c>
      <c r="F19" s="4" t="s">
        <v>22</v>
      </c>
      <c r="G19" s="7" t="str">
        <f>"-50%"&amp;" All Type"</f>
        <v>-50% All Type</v>
      </c>
    </row>
    <row r="20" spans="2:7">
      <c r="B20" s="4" t="s">
        <v>69</v>
      </c>
      <c r="D20" s="4" t="s">
        <v>48</v>
      </c>
    </row>
    <row r="21" spans="2:7">
      <c r="B21" s="4" t="s">
        <v>58</v>
      </c>
      <c r="D21" s="4" t="s">
        <v>69</v>
      </c>
    </row>
    <row r="22" spans="2:7">
      <c r="B22" s="4" t="s">
        <v>66</v>
      </c>
      <c r="D22" s="4" t="s">
        <v>58</v>
      </c>
    </row>
    <row r="23" spans="2:7">
      <c r="B23" s="4" t="s">
        <v>4</v>
      </c>
      <c r="D23" s="4" t="s">
        <v>74</v>
      </c>
    </row>
    <row r="24" spans="2:7">
      <c r="D24" s="4" t="s">
        <v>56</v>
      </c>
    </row>
    <row r="25" spans="2:7" ht="15.75" customHeight="1">
      <c r="D25" s="4" t="s">
        <v>83</v>
      </c>
    </row>
    <row r="26" spans="2:7" ht="15.75" customHeight="1">
      <c r="D26" s="4" t="s">
        <v>66</v>
      </c>
    </row>
    <row r="27" spans="2:7">
      <c r="D27" s="4" t="s">
        <v>59</v>
      </c>
    </row>
    <row r="34" spans="2:2">
      <c r="B34" s="12"/>
    </row>
  </sheetData>
  <mergeCells count="2">
    <mergeCell ref="F2:G3"/>
    <mergeCell ref="F14:G1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E633-E2C2-45EB-9187-AAB4045A946D}">
  <dimension ref="B1:G34"/>
  <sheetViews>
    <sheetView zoomScale="87" workbookViewId="0">
      <selection activeCell="B33" sqref="B33:B34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5" t="s">
        <v>85</v>
      </c>
      <c r="D2" s="5" t="s">
        <v>85</v>
      </c>
      <c r="F2" s="13" t="s">
        <v>16</v>
      </c>
      <c r="G2" s="13"/>
    </row>
    <row r="3" spans="2:7" ht="25.5" customHeight="1">
      <c r="B3" s="3">
        <v>520000</v>
      </c>
      <c r="D3" s="3">
        <v>920000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80</v>
      </c>
      <c r="D5" s="4" t="s">
        <v>80</v>
      </c>
      <c r="F5" s="4" t="s">
        <v>67</v>
      </c>
      <c r="G5" s="6">
        <v>120000</v>
      </c>
    </row>
    <row r="6" spans="2:7">
      <c r="B6" s="4" t="s">
        <v>64</v>
      </c>
      <c r="D6" s="4" t="s">
        <v>64</v>
      </c>
      <c r="F6" s="4" t="s">
        <v>18</v>
      </c>
      <c r="G6" s="6">
        <v>120000</v>
      </c>
    </row>
    <row r="7" spans="2:7">
      <c r="B7" s="4" t="s">
        <v>65</v>
      </c>
      <c r="D7" s="4" t="s">
        <v>48</v>
      </c>
      <c r="F7" s="4" t="s">
        <v>61</v>
      </c>
      <c r="G7" s="6">
        <v>350000</v>
      </c>
    </row>
    <row r="8" spans="2:7">
      <c r="B8" s="4" t="s">
        <v>4</v>
      </c>
      <c r="D8" s="4" t="s">
        <v>68</v>
      </c>
      <c r="F8" s="4" t="s">
        <v>19</v>
      </c>
      <c r="G8" s="6">
        <v>50000</v>
      </c>
    </row>
    <row r="9" spans="2:7">
      <c r="D9" s="4" t="s">
        <v>66</v>
      </c>
    </row>
    <row r="10" spans="2:7">
      <c r="D10" s="4" t="s">
        <v>4</v>
      </c>
      <c r="F10" s="10"/>
      <c r="G10" s="11"/>
    </row>
    <row r="12" spans="2:7">
      <c r="D12" s="10"/>
    </row>
    <row r="14" spans="2:7" ht="26.25" customHeight="1">
      <c r="B14" s="5" t="s">
        <v>86</v>
      </c>
      <c r="D14" s="5" t="s">
        <v>87</v>
      </c>
      <c r="F14" s="14" t="s">
        <v>24</v>
      </c>
      <c r="G14" s="13"/>
    </row>
    <row r="15" spans="2:7" ht="25.5" customHeight="1">
      <c r="B15" s="3">
        <v>1600000</v>
      </c>
      <c r="D15" s="3">
        <v>4800000</v>
      </c>
      <c r="F15" s="13"/>
      <c r="G15" s="13"/>
    </row>
    <row r="16" spans="2:7" ht="6.75" customHeight="1">
      <c r="B16" s="4"/>
      <c r="D16" s="4"/>
      <c r="F16" s="4"/>
      <c r="G16" s="4"/>
    </row>
    <row r="17" spans="2:7">
      <c r="B17" s="4" t="s">
        <v>81</v>
      </c>
      <c r="D17" s="4" t="s">
        <v>70</v>
      </c>
      <c r="F17" s="4" t="s">
        <v>20</v>
      </c>
      <c r="G17" s="6">
        <v>-50000</v>
      </c>
    </row>
    <row r="18" spans="2:7">
      <c r="B18" s="4" t="s">
        <v>64</v>
      </c>
      <c r="D18" s="4" t="s">
        <v>64</v>
      </c>
      <c r="F18" s="4" t="s">
        <v>21</v>
      </c>
      <c r="G18" s="4" t="str">
        <f>"-50000"&amp;" &amp; "&amp;"-25000"</f>
        <v>-50000 &amp; -25000</v>
      </c>
    </row>
    <row r="19" spans="2:7">
      <c r="B19" s="4" t="s">
        <v>57</v>
      </c>
      <c r="D19" s="4" t="s">
        <v>73</v>
      </c>
      <c r="F19" s="4" t="s">
        <v>22</v>
      </c>
      <c r="G19" s="7" t="str">
        <f>"-50%"&amp;" All Type"</f>
        <v>-50% All Type</v>
      </c>
    </row>
    <row r="20" spans="2:7">
      <c r="B20" s="4" t="s">
        <v>69</v>
      </c>
      <c r="D20" s="4" t="s">
        <v>48</v>
      </c>
    </row>
    <row r="21" spans="2:7">
      <c r="B21" s="4" t="s">
        <v>58</v>
      </c>
      <c r="D21" s="4" t="s">
        <v>74</v>
      </c>
    </row>
    <row r="22" spans="2:7">
      <c r="B22" s="4" t="s">
        <v>66</v>
      </c>
      <c r="D22" s="4" t="s">
        <v>56</v>
      </c>
    </row>
    <row r="23" spans="2:7">
      <c r="B23" s="4" t="s">
        <v>4</v>
      </c>
      <c r="D23" s="4" t="s">
        <v>66</v>
      </c>
    </row>
    <row r="24" spans="2:7">
      <c r="D24" s="4" t="s">
        <v>59</v>
      </c>
    </row>
    <row r="25" spans="2:7" ht="15.75" customHeight="1"/>
    <row r="26" spans="2:7" ht="15.75" customHeight="1"/>
    <row r="34" spans="2:2">
      <c r="B34" s="12"/>
    </row>
  </sheetData>
  <mergeCells count="2">
    <mergeCell ref="F2:G3"/>
    <mergeCell ref="F14:G1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EBF4-91EE-4334-B20E-AE85B91A2517}">
  <dimension ref="B1:G34"/>
  <sheetViews>
    <sheetView zoomScale="87" workbookViewId="0">
      <selection activeCell="K33" sqref="K33"/>
    </sheetView>
  </sheetViews>
  <sheetFormatPr defaultRowHeight="15"/>
  <cols>
    <col min="1" max="1" width="9.140625" style="1"/>
    <col min="2" max="2" width="36" style="1" customWidth="1"/>
    <col min="3" max="3" width="9.140625" style="1"/>
    <col min="4" max="4" width="36" style="1" customWidth="1"/>
    <col min="5" max="5" width="9.140625" style="1"/>
    <col min="6" max="6" width="18" style="1" customWidth="1"/>
    <col min="7" max="7" width="17.85546875" style="1" customWidth="1"/>
    <col min="8" max="16384" width="9.140625" style="1"/>
  </cols>
  <sheetData>
    <row r="1" spans="2:7" ht="30" customHeight="1"/>
    <row r="2" spans="2:7" ht="25.5" customHeight="1">
      <c r="B2" s="5" t="s">
        <v>91</v>
      </c>
      <c r="D2" s="5" t="s">
        <v>91</v>
      </c>
      <c r="F2" s="13" t="s">
        <v>16</v>
      </c>
      <c r="G2" s="13"/>
    </row>
    <row r="3" spans="2:7" ht="25.5" customHeight="1">
      <c r="B3" s="3">
        <v>840000</v>
      </c>
      <c r="D3" s="3">
        <v>1540000</v>
      </c>
      <c r="F3" s="13"/>
      <c r="G3" s="13"/>
    </row>
    <row r="4" spans="2:7" ht="6" customHeight="1">
      <c r="B4" s="4"/>
      <c r="D4" s="4"/>
      <c r="F4" s="4"/>
      <c r="G4" s="4"/>
    </row>
    <row r="5" spans="2:7">
      <c r="B5" s="4" t="s">
        <v>88</v>
      </c>
      <c r="D5" s="4" t="s">
        <v>89</v>
      </c>
      <c r="F5" s="4" t="s">
        <v>67</v>
      </c>
      <c r="G5" s="6">
        <v>120000</v>
      </c>
    </row>
    <row r="6" spans="2:7">
      <c r="B6" s="4" t="s">
        <v>64</v>
      </c>
      <c r="D6" s="4" t="s">
        <v>64</v>
      </c>
      <c r="F6" s="4" t="s">
        <v>18</v>
      </c>
      <c r="G6" s="6">
        <v>120000</v>
      </c>
    </row>
    <row r="7" spans="2:7">
      <c r="B7" s="4" t="s">
        <v>65</v>
      </c>
      <c r="D7" s="4" t="s">
        <v>48</v>
      </c>
      <c r="F7" s="4" t="s">
        <v>61</v>
      </c>
      <c r="G7" s="6">
        <v>350000</v>
      </c>
    </row>
    <row r="8" spans="2:7">
      <c r="B8" s="4" t="s">
        <v>4</v>
      </c>
      <c r="D8" s="4" t="s">
        <v>68</v>
      </c>
      <c r="F8" s="4" t="s">
        <v>19</v>
      </c>
      <c r="G8" s="6">
        <v>50000</v>
      </c>
    </row>
    <row r="9" spans="2:7">
      <c r="D9" s="4" t="s">
        <v>65</v>
      </c>
    </row>
    <row r="10" spans="2:7">
      <c r="D10" s="4" t="s">
        <v>4</v>
      </c>
      <c r="F10" s="10"/>
      <c r="G10" s="11"/>
    </row>
    <row r="12" spans="2:7">
      <c r="D12" s="10"/>
    </row>
    <row r="14" spans="2:7" ht="26.25" customHeight="1">
      <c r="B14" s="5" t="s">
        <v>92</v>
      </c>
      <c r="D14" s="5" t="s">
        <v>93</v>
      </c>
      <c r="F14" s="14" t="s">
        <v>24</v>
      </c>
      <c r="G14" s="13"/>
    </row>
    <row r="15" spans="2:7" ht="25.5" customHeight="1">
      <c r="B15" s="3">
        <v>2800000</v>
      </c>
      <c r="D15" s="3">
        <v>5400000</v>
      </c>
      <c r="F15" s="13"/>
      <c r="G15" s="13"/>
    </row>
    <row r="16" spans="2:7" ht="6.75" customHeight="1">
      <c r="B16" s="4"/>
      <c r="D16" s="4"/>
      <c r="F16" s="4"/>
      <c r="G16" s="4"/>
    </row>
    <row r="17" spans="2:7">
      <c r="B17" s="4" t="s">
        <v>90</v>
      </c>
      <c r="D17" s="4" t="s">
        <v>94</v>
      </c>
      <c r="F17" s="4" t="s">
        <v>20</v>
      </c>
      <c r="G17" s="6">
        <v>-50000</v>
      </c>
    </row>
    <row r="18" spans="2:7">
      <c r="B18" s="4" t="s">
        <v>64</v>
      </c>
      <c r="D18" s="4" t="s">
        <v>64</v>
      </c>
      <c r="F18" s="4" t="s">
        <v>21</v>
      </c>
      <c r="G18" s="4" t="str">
        <f>"-50000"&amp;" &amp; "&amp;"-25000"</f>
        <v>-50000 &amp; -25000</v>
      </c>
    </row>
    <row r="19" spans="2:7">
      <c r="B19" s="4" t="s">
        <v>57</v>
      </c>
      <c r="D19" s="4" t="s">
        <v>73</v>
      </c>
      <c r="F19" s="4" t="s">
        <v>22</v>
      </c>
      <c r="G19" s="7" t="str">
        <f>"-50%"&amp;" All Type"</f>
        <v>-50% All Type</v>
      </c>
    </row>
    <row r="20" spans="2:7">
      <c r="B20" s="4" t="s">
        <v>48</v>
      </c>
      <c r="D20" s="4" t="s">
        <v>48</v>
      </c>
      <c r="F20" s="4" t="s">
        <v>95</v>
      </c>
      <c r="G20" s="7" t="str">
        <f>"-30%"&amp;" All Type"</f>
        <v>-30% All Type</v>
      </c>
    </row>
    <row r="21" spans="2:7">
      <c r="B21" s="4" t="s">
        <v>58</v>
      </c>
      <c r="D21" s="4" t="s">
        <v>74</v>
      </c>
    </row>
    <row r="22" spans="2:7">
      <c r="B22" s="4" t="s">
        <v>66</v>
      </c>
      <c r="D22" s="4" t="s">
        <v>56</v>
      </c>
    </row>
    <row r="23" spans="2:7">
      <c r="B23" s="4" t="s">
        <v>4</v>
      </c>
      <c r="D23" s="4" t="s">
        <v>66</v>
      </c>
    </row>
    <row r="24" spans="2:7">
      <c r="D24" s="4" t="s">
        <v>59</v>
      </c>
    </row>
    <row r="25" spans="2:7" ht="15.75" customHeight="1"/>
    <row r="26" spans="2:7" ht="15.75" customHeight="1"/>
    <row r="34" spans="2:2">
      <c r="B34" s="12"/>
    </row>
  </sheetData>
  <mergeCells count="2">
    <mergeCell ref="F2:G3"/>
    <mergeCell ref="F14:G1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14A2-7F80-46E3-BC42-5E655D5C93B7}">
  <dimension ref="B2:U42"/>
  <sheetViews>
    <sheetView tabSelected="1" workbookViewId="0">
      <selection activeCell="C4" sqref="C4"/>
    </sheetView>
  </sheetViews>
  <sheetFormatPr defaultRowHeight="15"/>
  <cols>
    <col min="1" max="1" width="9.140625" style="1"/>
    <col min="2" max="2" width="13.140625" style="1" bestFit="1" customWidth="1"/>
    <col min="3" max="6" width="14" style="1" bestFit="1" customWidth="1"/>
    <col min="7" max="19" width="16.28515625" style="1" bestFit="1" customWidth="1"/>
    <col min="20" max="21" width="19" style="1" bestFit="1" customWidth="1"/>
    <col min="22" max="16384" width="9.140625" style="1"/>
  </cols>
  <sheetData>
    <row r="2" spans="2:21">
      <c r="B2" s="15" t="s">
        <v>96</v>
      </c>
      <c r="C2" s="15" t="s">
        <v>102</v>
      </c>
      <c r="D2" s="15" t="s">
        <v>98</v>
      </c>
      <c r="E2" s="15" t="s">
        <v>99</v>
      </c>
      <c r="F2" s="15" t="s">
        <v>100</v>
      </c>
      <c r="G2" s="15" t="s">
        <v>101</v>
      </c>
    </row>
    <row r="3" spans="2:21">
      <c r="B3" s="4" t="s">
        <v>97</v>
      </c>
      <c r="C3" s="4">
        <v>4</v>
      </c>
      <c r="D3" s="16">
        <f>C3*GRADUATION!B3</f>
        <v>860000</v>
      </c>
      <c r="E3" s="16">
        <f>C3*GRADUATION!D3</f>
        <v>1300000</v>
      </c>
      <c r="F3" s="16">
        <f>C3*GRADUATION!B14</f>
        <v>2300000</v>
      </c>
      <c r="G3" s="16">
        <f>4*GRADUATION!D14</f>
        <v>3900000</v>
      </c>
    </row>
    <row r="4" spans="2:21">
      <c r="B4" s="4" t="s">
        <v>103</v>
      </c>
      <c r="C4" s="4">
        <f>$C$3</f>
        <v>4</v>
      </c>
      <c r="D4" s="16">
        <f>C4*COUPLE!B3</f>
        <v>940000</v>
      </c>
      <c r="E4" s="16">
        <f>C4*COUPLE!D3</f>
        <v>1300000</v>
      </c>
      <c r="F4" s="16">
        <f>C4*COUPLE!B14</f>
        <v>2460000</v>
      </c>
      <c r="G4" s="16" t="s">
        <v>111</v>
      </c>
    </row>
    <row r="5" spans="2:21">
      <c r="B5" s="4" t="s">
        <v>104</v>
      </c>
      <c r="C5" s="4">
        <f t="shared" ref="C5:C11" si="0">$C$3</f>
        <v>4</v>
      </c>
      <c r="D5" s="16">
        <f>C5*PERSONAL!B3</f>
        <v>900000</v>
      </c>
      <c r="E5" s="16">
        <f>C5*PERSONAL!D3</f>
        <v>1900000</v>
      </c>
      <c r="F5" s="16">
        <f>C5*PERSONAL!B14</f>
        <v>3660000</v>
      </c>
      <c r="G5" s="16" t="s">
        <v>111</v>
      </c>
    </row>
    <row r="6" spans="2:21">
      <c r="B6" s="4" t="s">
        <v>105</v>
      </c>
      <c r="C6" s="4">
        <f t="shared" si="0"/>
        <v>4</v>
      </c>
      <c r="D6" s="16">
        <f>C6*BEAUTY!B3</f>
        <v>700000</v>
      </c>
      <c r="E6" s="16">
        <f>BEAUTY!D3*C6</f>
        <v>1900000</v>
      </c>
      <c r="F6" s="16" t="s">
        <v>111</v>
      </c>
      <c r="G6" s="16" t="s">
        <v>111</v>
      </c>
    </row>
    <row r="7" spans="2:21">
      <c r="B7" s="4" t="s">
        <v>106</v>
      </c>
      <c r="C7" s="4">
        <f t="shared" si="0"/>
        <v>4</v>
      </c>
      <c r="D7" s="16">
        <f>C7*PREWEDDING!B3</f>
        <v>1940000</v>
      </c>
      <c r="E7" s="16">
        <f>C7*PREWEDDING!D3</f>
        <v>3800000</v>
      </c>
      <c r="F7" s="16">
        <f>C7*PREWEDDING!B15</f>
        <v>7200000</v>
      </c>
      <c r="G7" s="16">
        <f>C7*PREWEDDING!D15</f>
        <v>15200000</v>
      </c>
    </row>
    <row r="8" spans="2:21">
      <c r="B8" s="4" t="s">
        <v>107</v>
      </c>
      <c r="C8" s="4">
        <f t="shared" si="0"/>
        <v>4</v>
      </c>
      <c r="D8" s="16">
        <f>C8*WEDDING!B3</f>
        <v>5200000</v>
      </c>
      <c r="E8" s="16">
        <f>C8*WEDDING!D3</f>
        <v>9600000</v>
      </c>
      <c r="F8" s="16">
        <f>C8*WEDDING!B15</f>
        <v>15200000</v>
      </c>
      <c r="G8" s="16">
        <f>C8*WEDDING!D15</f>
        <v>32800000</v>
      </c>
    </row>
    <row r="9" spans="2:21">
      <c r="B9" s="4" t="s">
        <v>108</v>
      </c>
      <c r="C9" s="4">
        <f t="shared" si="0"/>
        <v>4</v>
      </c>
      <c r="D9" s="16">
        <f>C9*ENGAGEMENT!B3</f>
        <v>2200000</v>
      </c>
      <c r="E9" s="16">
        <f>C9*ENGAGEMENT!D3</f>
        <v>3680000</v>
      </c>
      <c r="F9" s="16">
        <f>C9*ENGAGEMENT!B15</f>
        <v>6400000</v>
      </c>
      <c r="G9" s="16">
        <f>C9*ENGAGEMENT!D15</f>
        <v>19200000</v>
      </c>
    </row>
    <row r="10" spans="2:21">
      <c r="B10" s="4" t="s">
        <v>109</v>
      </c>
      <c r="C10" s="4">
        <f t="shared" si="0"/>
        <v>4</v>
      </c>
      <c r="D10" s="16">
        <f>C10*EVENT!B3</f>
        <v>2080000</v>
      </c>
      <c r="E10" s="16">
        <f>C10*EVENT!D3</f>
        <v>3680000</v>
      </c>
      <c r="F10" s="16">
        <f>C10*EVENT!B15</f>
        <v>6400000</v>
      </c>
      <c r="G10" s="16">
        <f>C10*EVENT!D15</f>
        <v>19200000</v>
      </c>
    </row>
    <row r="11" spans="2:21">
      <c r="B11" s="4" t="s">
        <v>110</v>
      </c>
      <c r="C11" s="4">
        <f t="shared" si="0"/>
        <v>4</v>
      </c>
      <c r="D11" s="16">
        <f>C11*TRAVEL!B3</f>
        <v>3360000</v>
      </c>
      <c r="E11" s="16">
        <f>C11*TRAVEL!D3</f>
        <v>6160000</v>
      </c>
      <c r="F11" s="16">
        <f>C11*TRAVEL!B15</f>
        <v>11200000</v>
      </c>
      <c r="G11" s="16">
        <f>C11*TRAVEL!D15</f>
        <v>21600000</v>
      </c>
    </row>
    <row r="14" spans="2:21">
      <c r="B14" s="17" t="s">
        <v>113</v>
      </c>
      <c r="C14" t="s">
        <v>115</v>
      </c>
      <c r="D14" t="s">
        <v>114</v>
      </c>
      <c r="E14" t="s">
        <v>116</v>
      </c>
      <c r="F14" t="s">
        <v>117</v>
      </c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2:21">
      <c r="B15" s="18" t="s">
        <v>105</v>
      </c>
      <c r="C15" s="19">
        <v>700000</v>
      </c>
      <c r="D15" s="19">
        <v>1900000</v>
      </c>
      <c r="E15" s="19">
        <v>0</v>
      </c>
      <c r="F15" s="19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2:21">
      <c r="B16" s="18" t="s">
        <v>103</v>
      </c>
      <c r="C16" s="19">
        <v>940000</v>
      </c>
      <c r="D16" s="19">
        <v>1300000</v>
      </c>
      <c r="E16" s="19">
        <v>2460000</v>
      </c>
      <c r="F16" s="19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2:21">
      <c r="B17" s="18" t="s">
        <v>108</v>
      </c>
      <c r="C17" s="19">
        <v>2200000</v>
      </c>
      <c r="D17" s="19">
        <v>3680000</v>
      </c>
      <c r="E17" s="19">
        <v>6400000</v>
      </c>
      <c r="F17" s="19">
        <v>19200000</v>
      </c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2:21">
      <c r="B18" s="18" t="s">
        <v>109</v>
      </c>
      <c r="C18" s="19">
        <v>2080000</v>
      </c>
      <c r="D18" s="19">
        <v>3680000</v>
      </c>
      <c r="E18" s="19">
        <v>6400000</v>
      </c>
      <c r="F18" s="19">
        <v>19200000</v>
      </c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2:21">
      <c r="B19" s="18" t="s">
        <v>97</v>
      </c>
      <c r="C19" s="19">
        <v>860000</v>
      </c>
      <c r="D19" s="19">
        <v>1300000</v>
      </c>
      <c r="E19" s="19">
        <v>2300000</v>
      </c>
      <c r="F19" s="19">
        <v>3900000</v>
      </c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2:21">
      <c r="B20" s="18" t="s">
        <v>104</v>
      </c>
      <c r="C20" s="19">
        <v>900000</v>
      </c>
      <c r="D20" s="19">
        <v>1900000</v>
      </c>
      <c r="E20" s="19">
        <v>3660000</v>
      </c>
      <c r="F20" s="19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2:21">
      <c r="B21" s="18" t="s">
        <v>106</v>
      </c>
      <c r="C21" s="19">
        <v>1940000</v>
      </c>
      <c r="D21" s="19">
        <v>3800000</v>
      </c>
      <c r="E21" s="19">
        <v>7200000</v>
      </c>
      <c r="F21" s="19">
        <v>15200000</v>
      </c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2:21">
      <c r="B22" s="18" t="s">
        <v>110</v>
      </c>
      <c r="C22" s="19">
        <v>3360000</v>
      </c>
      <c r="D22" s="19">
        <v>6160000</v>
      </c>
      <c r="E22" s="19">
        <v>11200000</v>
      </c>
      <c r="F22" s="19">
        <v>21600000</v>
      </c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2:21">
      <c r="B23" s="18" t="s">
        <v>107</v>
      </c>
      <c r="C23" s="19">
        <v>5200000</v>
      </c>
      <c r="D23" s="19">
        <v>9600000</v>
      </c>
      <c r="E23" s="19">
        <v>15200000</v>
      </c>
      <c r="F23" s="19">
        <v>32800000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2:21">
      <c r="B24" s="18" t="s">
        <v>112</v>
      </c>
      <c r="C24" s="19">
        <v>18180000</v>
      </c>
      <c r="D24" s="19">
        <v>33320000</v>
      </c>
      <c r="E24" s="19">
        <v>54820000</v>
      </c>
      <c r="F24" s="19">
        <v>111900000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2:21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2:21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2:21">
      <c r="B27"/>
      <c r="C27"/>
      <c r="D27"/>
      <c r="E27"/>
      <c r="F27"/>
      <c r="G27"/>
      <c r="H27"/>
      <c r="I27"/>
      <c r="J27"/>
      <c r="K27"/>
      <c r="L27"/>
    </row>
    <row r="28" spans="2:21">
      <c r="B28"/>
      <c r="C28"/>
      <c r="D28"/>
      <c r="E28"/>
      <c r="F28"/>
      <c r="G28"/>
      <c r="H28"/>
      <c r="I28"/>
      <c r="J28"/>
      <c r="K28"/>
      <c r="L28"/>
    </row>
    <row r="29" spans="2:21">
      <c r="B29"/>
      <c r="C29"/>
      <c r="D29"/>
      <c r="E29"/>
      <c r="F29"/>
      <c r="G29"/>
      <c r="H29"/>
      <c r="I29"/>
      <c r="J29"/>
      <c r="K29"/>
      <c r="L29"/>
    </row>
    <row r="30" spans="2:21">
      <c r="B30"/>
      <c r="C30"/>
      <c r="D30"/>
      <c r="E30"/>
      <c r="F30"/>
      <c r="G30"/>
      <c r="H30"/>
      <c r="I30"/>
      <c r="J30"/>
      <c r="K30"/>
      <c r="L30"/>
    </row>
    <row r="31" spans="2:21">
      <c r="B31"/>
      <c r="C31"/>
      <c r="D31"/>
      <c r="E31"/>
      <c r="F31"/>
      <c r="G31"/>
      <c r="H31"/>
      <c r="I31"/>
      <c r="J31"/>
      <c r="K31"/>
      <c r="L31"/>
    </row>
    <row r="32" spans="2:21">
      <c r="B32"/>
      <c r="C32"/>
      <c r="D32"/>
      <c r="E32"/>
      <c r="F32"/>
      <c r="G32"/>
      <c r="H32"/>
      <c r="I32"/>
      <c r="J32"/>
      <c r="K32"/>
      <c r="L32"/>
    </row>
    <row r="33" spans="2:12">
      <c r="B33"/>
      <c r="C33"/>
      <c r="D33"/>
      <c r="E33"/>
      <c r="F33"/>
      <c r="G33"/>
      <c r="H33"/>
      <c r="I33"/>
      <c r="J33"/>
      <c r="K33"/>
      <c r="L33"/>
    </row>
    <row r="34" spans="2:12">
      <c r="B34"/>
      <c r="C34"/>
      <c r="D34"/>
      <c r="E34"/>
      <c r="F34"/>
      <c r="G34"/>
      <c r="H34"/>
      <c r="I34"/>
      <c r="J34"/>
      <c r="K34"/>
      <c r="L34"/>
    </row>
    <row r="35" spans="2:12">
      <c r="B35"/>
    </row>
    <row r="36" spans="2:12">
      <c r="B36"/>
    </row>
    <row r="37" spans="2:12">
      <c r="B37"/>
    </row>
    <row r="38" spans="2:12">
      <c r="B38"/>
    </row>
    <row r="39" spans="2:12">
      <c r="B39"/>
    </row>
    <row r="40" spans="2:12">
      <c r="B40"/>
    </row>
    <row r="41" spans="2:12">
      <c r="B41"/>
    </row>
    <row r="42" spans="2:12">
      <c r="B42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MENU</vt:lpstr>
      <vt:lpstr>GRADUATION</vt:lpstr>
      <vt:lpstr>COUPLE</vt:lpstr>
      <vt:lpstr>PERSONAL</vt:lpstr>
      <vt:lpstr>BEAUTY</vt:lpstr>
      <vt:lpstr>PREWEDDING</vt:lpstr>
      <vt:lpstr>WEDDING</vt:lpstr>
      <vt:lpstr>ENGAGEMENT</vt:lpstr>
      <vt:lpstr>EVENT</vt:lpstr>
      <vt:lpstr>TRAVEL</vt:lpstr>
      <vt:lpstr>SIMULATION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batra</dc:creator>
  <cp:lastModifiedBy>bagus batra</cp:lastModifiedBy>
  <dcterms:created xsi:type="dcterms:W3CDTF">2015-06-05T18:17:20Z</dcterms:created>
  <dcterms:modified xsi:type="dcterms:W3CDTF">2026-10-26T02:54:43Z</dcterms:modified>
</cp:coreProperties>
</file>